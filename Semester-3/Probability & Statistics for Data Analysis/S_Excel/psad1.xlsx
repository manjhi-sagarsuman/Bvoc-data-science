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_Excel\"/>
    </mc:Choice>
  </mc:AlternateContent>
  <xr:revisionPtr revIDLastSave="0" documentId="13_ncr:1_{5DFCD8AC-664E-4060-9649-A8F60616E192}" xr6:coauthVersionLast="47" xr6:coauthVersionMax="47" xr10:uidLastSave="{00000000-0000-0000-0000-000000000000}"/>
  <bookViews>
    <workbookView xWindow="-120" yWindow="-120" windowWidth="29040" windowHeight="15720" xr2:uid="{F8614BAB-BC53-459E-A0CC-D574925BF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H20" i="1"/>
  <c r="I12" i="1"/>
  <c r="I13" i="1"/>
  <c r="I14" i="1"/>
  <c r="I15" i="1"/>
  <c r="I16" i="1"/>
  <c r="I17" i="1"/>
  <c r="I18" i="1"/>
  <c r="I19" i="1"/>
  <c r="I20" i="1"/>
  <c r="I11" i="1"/>
  <c r="H12" i="1"/>
  <c r="H13" i="1"/>
  <c r="H14" i="1"/>
  <c r="H15" i="1"/>
  <c r="H16" i="1"/>
  <c r="H17" i="1"/>
  <c r="H18" i="1"/>
  <c r="H19" i="1"/>
  <c r="G12" i="1"/>
  <c r="G13" i="1"/>
  <c r="G14" i="1"/>
  <c r="G15" i="1"/>
  <c r="G16" i="1"/>
  <c r="G17" i="1"/>
  <c r="G18" i="1"/>
  <c r="G19" i="1"/>
  <c r="G20" i="1"/>
  <c r="H11" i="1"/>
  <c r="G11" i="1"/>
</calcChain>
</file>

<file path=xl/sharedStrings.xml><?xml version="1.0" encoding="utf-8"?>
<sst xmlns="http://schemas.openxmlformats.org/spreadsheetml/2006/main" count="32" uniqueCount="32">
  <si>
    <t>TCET, A-Block, Gate No 5, Thakur Educational Campus, Thakur Rd, Thakur Village, Kandivali East, Mumbai, Maharashtra - 400101</t>
  </si>
  <si>
    <t>MARKSHEET 2025-2026</t>
  </si>
  <si>
    <t>ROLLNO</t>
  </si>
  <si>
    <t>NAME</t>
  </si>
  <si>
    <t>PYTHON</t>
  </si>
  <si>
    <t>LINUX</t>
  </si>
  <si>
    <t>WB-II</t>
  </si>
  <si>
    <t>BI</t>
  </si>
  <si>
    <t>TOTAL</t>
  </si>
  <si>
    <t>AVERAGE</t>
  </si>
  <si>
    <t>GRADE</t>
  </si>
  <si>
    <t>Bvoc_DS01</t>
  </si>
  <si>
    <t>RAHUL SHARMA</t>
  </si>
  <si>
    <t>PERCENTAGE</t>
  </si>
  <si>
    <t>Bvoc_DS02</t>
  </si>
  <si>
    <t>PRIYA SINGH</t>
  </si>
  <si>
    <t>Bvoc_DS03</t>
  </si>
  <si>
    <t>AMIT KUMAR</t>
  </si>
  <si>
    <t>Bvoc_DS04</t>
  </si>
  <si>
    <t>NEHA GUPTA</t>
  </si>
  <si>
    <t>Bvoc_DS05</t>
  </si>
  <si>
    <t>ROHIT VERMA</t>
  </si>
  <si>
    <t>Bvoc_DS06</t>
  </si>
  <si>
    <t>SAKSHI SHARMA</t>
  </si>
  <si>
    <t>Bvoc_DS07</t>
  </si>
  <si>
    <t>VIKAS YADAV</t>
  </si>
  <si>
    <t>Bvoc_DS08</t>
  </si>
  <si>
    <t>POOJA MISHRA</t>
  </si>
  <si>
    <t>Bvoc_DS09</t>
  </si>
  <si>
    <t>ANJALI PATEL</t>
  </si>
  <si>
    <t>Bvoc_DS10</t>
  </si>
  <si>
    <t>KARAN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</si>
</sst>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RAHUL SHARMA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Sheet1!$G$11</c:f>
              <c:numCache>
                <c:formatCode>General</c:formatCode>
                <c:ptCount val="1"/>
                <c:pt idx="0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D-4EFA-AA86-7EDBEC48E9AF}"/>
            </c:ext>
          </c:extLst>
        </c:ser>
        <c:ser>
          <c:idx val="1"/>
          <c:order val="1"/>
          <c:tx>
            <c:strRef>
              <c:f>Sheet1!$B$12</c:f>
              <c:strCache>
                <c:ptCount val="1"/>
                <c:pt idx="0">
                  <c:v>PRIYA SINGH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Sheet1!$G$12</c:f>
              <c:numCache>
                <c:formatCode>General</c:formatCode>
                <c:ptCount val="1"/>
                <c:pt idx="0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D-4EFA-AA86-7EDBEC48E9AF}"/>
            </c:ext>
          </c:extLst>
        </c:ser>
        <c:ser>
          <c:idx val="2"/>
          <c:order val="2"/>
          <c:tx>
            <c:strRef>
              <c:f>Sheet1!$B$13</c:f>
              <c:strCache>
                <c:ptCount val="1"/>
                <c:pt idx="0">
                  <c:v>AMIT KUMAR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Sheet1!$G$13</c:f>
              <c:numCache>
                <c:formatCode>General</c:formatCode>
                <c:ptCount val="1"/>
                <c:pt idx="0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D-4EFA-AA86-7EDBEC48E9AF}"/>
            </c:ext>
          </c:extLst>
        </c:ser>
        <c:ser>
          <c:idx val="3"/>
          <c:order val="3"/>
          <c:tx>
            <c:strRef>
              <c:f>Sheet1!$B$14</c:f>
              <c:strCache>
                <c:ptCount val="1"/>
                <c:pt idx="0">
                  <c:v>NEHA GUPTA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Sheet1!$G$14</c:f>
              <c:numCache>
                <c:formatCode>General</c:formatCode>
                <c:ptCount val="1"/>
                <c:pt idx="0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D-4EFA-AA86-7EDBEC48E9AF}"/>
            </c:ext>
          </c:extLst>
        </c:ser>
        <c:ser>
          <c:idx val="4"/>
          <c:order val="4"/>
          <c:tx>
            <c:strRef>
              <c:f>Sheet1!$B$15</c:f>
              <c:strCache>
                <c:ptCount val="1"/>
                <c:pt idx="0">
                  <c:v>ROHIT VERMA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Sheet1!$G$15</c:f>
              <c:numCache>
                <c:formatCode>General</c:formatCode>
                <c:ptCount val="1"/>
                <c:pt idx="0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5D-4EFA-AA86-7EDBEC48E9AF}"/>
            </c:ext>
          </c:extLst>
        </c:ser>
        <c:ser>
          <c:idx val="5"/>
          <c:order val="5"/>
          <c:tx>
            <c:strRef>
              <c:f>Sheet1!$B$16</c:f>
              <c:strCache>
                <c:ptCount val="1"/>
                <c:pt idx="0">
                  <c:v>SAKSHI SHARMA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Sheet1!$G$16</c:f>
              <c:numCache>
                <c:formatCode>General</c:formatCode>
                <c:ptCount val="1"/>
                <c:pt idx="0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5D-4EFA-AA86-7EDBEC48E9AF}"/>
            </c:ext>
          </c:extLst>
        </c:ser>
        <c:ser>
          <c:idx val="6"/>
          <c:order val="6"/>
          <c:tx>
            <c:strRef>
              <c:f>Sheet1!$B$17</c:f>
              <c:strCache>
                <c:ptCount val="1"/>
                <c:pt idx="0">
                  <c:v>VIKAS YADAV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Sheet1!$G$17</c:f>
              <c:numCache>
                <c:formatCode>General</c:formatCode>
                <c:ptCount val="1"/>
                <c:pt idx="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5D-4EFA-AA86-7EDBEC48E9AF}"/>
            </c:ext>
          </c:extLst>
        </c:ser>
        <c:ser>
          <c:idx val="7"/>
          <c:order val="7"/>
          <c:tx>
            <c:strRef>
              <c:f>Sheet1!$B$18</c:f>
              <c:strCache>
                <c:ptCount val="1"/>
                <c:pt idx="0">
                  <c:v>POOJA MISHRA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Sheet1!$G$18</c:f>
              <c:numCache>
                <c:formatCode>General</c:formatCode>
                <c:ptCount val="1"/>
                <c:pt idx="0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5D-4EFA-AA86-7EDBEC48E9AF}"/>
            </c:ext>
          </c:extLst>
        </c:ser>
        <c:ser>
          <c:idx val="8"/>
          <c:order val="8"/>
          <c:tx>
            <c:strRef>
              <c:f>Sheet1!$B$19</c:f>
              <c:strCache>
                <c:ptCount val="1"/>
                <c:pt idx="0">
                  <c:v>ANJALI PATEL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Sheet1!$G$19</c:f>
              <c:numCache>
                <c:formatCode>General</c:formatCode>
                <c:ptCount val="1"/>
                <c:pt idx="0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5D-4EFA-AA86-7EDBEC48E9AF}"/>
            </c:ext>
          </c:extLst>
        </c:ser>
        <c:ser>
          <c:idx val="9"/>
          <c:order val="9"/>
          <c:tx>
            <c:strRef>
              <c:f>Sheet1!$B$20</c:f>
              <c:strCache>
                <c:ptCount val="1"/>
                <c:pt idx="0">
                  <c:v>KARAN SINGH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Sheet1!$G$20</c:f>
              <c:numCache>
                <c:formatCode>General</c:formatCode>
                <c:ptCount val="1"/>
                <c:pt idx="0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5D-4EFA-AA86-7EDBEC48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218575"/>
        <c:axId val="2142872816"/>
      </c:barChart>
      <c:catAx>
        <c:axId val="2232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72816"/>
        <c:crosses val="autoZero"/>
        <c:auto val="1"/>
        <c:lblAlgn val="ctr"/>
        <c:lblOffset val="100"/>
        <c:noMultiLvlLbl val="0"/>
      </c:catAx>
      <c:valAx>
        <c:axId val="214287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2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Sheet1!$B$11:$B$20</c:f>
              <c:strCache>
                <c:ptCount val="10"/>
                <c:pt idx="0">
                  <c:v>RAHUL SHARMA</c:v>
                </c:pt>
                <c:pt idx="1">
                  <c:v>PRIYA SINGH</c:v>
                </c:pt>
                <c:pt idx="2">
                  <c:v>AMIT KUMAR</c:v>
                </c:pt>
                <c:pt idx="3">
                  <c:v>NEHA GUPTA</c:v>
                </c:pt>
                <c:pt idx="4">
                  <c:v>ROHIT VERMA</c:v>
                </c:pt>
                <c:pt idx="5">
                  <c:v>SAKSHI SHARMA</c:v>
                </c:pt>
                <c:pt idx="6">
                  <c:v>VIKAS YADAV</c:v>
                </c:pt>
                <c:pt idx="7">
                  <c:v>POOJA MISHRA</c:v>
                </c:pt>
                <c:pt idx="8">
                  <c:v>ANJALI PATEL</c:v>
                </c:pt>
                <c:pt idx="9">
                  <c:v>KARAN SINGH</c:v>
                </c:pt>
              </c:strCache>
            </c:strRef>
          </c:cat>
          <c:val>
            <c:numRef>
              <c:f>Sheet1!$G$11:$G$20</c:f>
              <c:numCache>
                <c:formatCode>General</c:formatCode>
                <c:ptCount val="10"/>
                <c:pt idx="0">
                  <c:v>301</c:v>
                </c:pt>
                <c:pt idx="1">
                  <c:v>334</c:v>
                </c:pt>
                <c:pt idx="2">
                  <c:v>296</c:v>
                </c:pt>
                <c:pt idx="3">
                  <c:v>364</c:v>
                </c:pt>
                <c:pt idx="4">
                  <c:v>279</c:v>
                </c:pt>
                <c:pt idx="5">
                  <c:v>356</c:v>
                </c:pt>
                <c:pt idx="6">
                  <c:v>295</c:v>
                </c:pt>
                <c:pt idx="7">
                  <c:v>378</c:v>
                </c:pt>
                <c:pt idx="8">
                  <c:v>327</c:v>
                </c:pt>
                <c:pt idx="9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449-86E0-FB4A52AFBB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Sheet1!$B$11:$B$20</c:f>
              <c:strCache>
                <c:ptCount val="10"/>
                <c:pt idx="0">
                  <c:v>RAHUL SHARMA</c:v>
                </c:pt>
                <c:pt idx="1">
                  <c:v>PRIYA SINGH</c:v>
                </c:pt>
                <c:pt idx="2">
                  <c:v>AMIT KUMAR</c:v>
                </c:pt>
                <c:pt idx="3">
                  <c:v>NEHA GUPTA</c:v>
                </c:pt>
                <c:pt idx="4">
                  <c:v>ROHIT VERMA</c:v>
                </c:pt>
                <c:pt idx="5">
                  <c:v>SAKSHI SHARMA</c:v>
                </c:pt>
                <c:pt idx="6">
                  <c:v>VIKAS YADAV</c:v>
                </c:pt>
                <c:pt idx="7">
                  <c:v>POOJA MISHRA</c:v>
                </c:pt>
                <c:pt idx="8">
                  <c:v>ANJALI PATEL</c:v>
                </c:pt>
                <c:pt idx="9">
                  <c:v>KARAN SINGH</c:v>
                </c:pt>
              </c:strCache>
            </c:strRef>
          </c:cat>
          <c:val>
            <c:numRef>
              <c:f>Sheet1!$H$11:$H$20</c:f>
              <c:numCache>
                <c:formatCode>General</c:formatCode>
                <c:ptCount val="10"/>
                <c:pt idx="0">
                  <c:v>75.25</c:v>
                </c:pt>
                <c:pt idx="1">
                  <c:v>83.5</c:v>
                </c:pt>
                <c:pt idx="2">
                  <c:v>74</c:v>
                </c:pt>
                <c:pt idx="3">
                  <c:v>91</c:v>
                </c:pt>
                <c:pt idx="4">
                  <c:v>69.75</c:v>
                </c:pt>
                <c:pt idx="5">
                  <c:v>89</c:v>
                </c:pt>
                <c:pt idx="6">
                  <c:v>73.75</c:v>
                </c:pt>
                <c:pt idx="7">
                  <c:v>94.5</c:v>
                </c:pt>
                <c:pt idx="8">
                  <c:v>81.75</c:v>
                </c:pt>
                <c:pt idx="9">
                  <c:v>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449-86E0-FB4A52AFB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242815"/>
        <c:axId val="2142796496"/>
      </c:barChart>
      <c:catAx>
        <c:axId val="22124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796496"/>
        <c:crosses val="autoZero"/>
        <c:auto val="1"/>
        <c:lblAlgn val="ctr"/>
        <c:lblOffset val="100"/>
        <c:noMultiLvlLbl val="0"/>
      </c:catAx>
      <c:valAx>
        <c:axId val="214279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43962</xdr:rowOff>
    </xdr:from>
    <xdr:to>
      <xdr:col>10</xdr:col>
      <xdr:colOff>433551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A38FD-5BBE-F679-34D5-2FA3620F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422" y="43962"/>
          <a:ext cx="5830715" cy="908538"/>
        </a:xfrm>
        <a:prstGeom prst="rect">
          <a:avLst/>
        </a:prstGeom>
      </xdr:spPr>
    </xdr:pic>
    <xdr:clientData/>
  </xdr:twoCellAnchor>
  <xdr:twoCellAnchor>
    <xdr:from>
      <xdr:col>11</xdr:col>
      <xdr:colOff>413844</xdr:colOff>
      <xdr:row>0</xdr:row>
      <xdr:rowOff>98534</xdr:rowOff>
    </xdr:from>
    <xdr:to>
      <xdr:col>18</xdr:col>
      <xdr:colOff>289034</xdr:colOff>
      <xdr:row>12</xdr:row>
      <xdr:rowOff>126781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0DBF6B-2682-7A06-33FC-4C7EE6049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262759</xdr:colOff>
      <xdr:row>12</xdr:row>
      <xdr:rowOff>129409</xdr:rowOff>
    </xdr:from>
    <xdr:to>
      <xdr:col>18</xdr:col>
      <xdr:colOff>558362</xdr:colOff>
      <xdr:row>27</xdr:row>
      <xdr:rowOff>15109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6EE5C1-BBDD-9FCD-5709-D21BC9B49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254716-8A0E-4D10-A1AB-56FA971FA179}" name="Table1" displayName="Table1" ref="A10:J20" totalsRowShown="0" headerRowDxfId="11" dataDxfId="10">
  <autoFilter ref="A10:J20" xr:uid="{DF254716-8A0E-4D10-A1AB-56FA971FA179}"/>
  <tableColumns count="10">
    <tableColumn id="1" xr3:uid="{66CEBA93-78FD-43DE-95AC-A43160853EFE}" name="ROLLNO" dataDxfId="9"/>
    <tableColumn id="2" xr3:uid="{113D9CD2-E7F2-4CCE-B6E5-49F750906AB0}" name="NAME" dataDxfId="8"/>
    <tableColumn id="3" xr3:uid="{654285CD-C259-4137-97C9-4B8C793E256B}" name="PYTHON" dataDxfId="7"/>
    <tableColumn id="4" xr3:uid="{300B430F-ED1C-4B66-B23E-82460A351028}" name="LINUX" dataDxfId="6"/>
    <tableColumn id="5" xr3:uid="{ACBD8CE6-461C-4597-96C9-6043D2946359}" name="WB-II" dataDxfId="5"/>
    <tableColumn id="6" xr3:uid="{93CCA198-81A2-4952-806B-73680A095BBF}" name="BI" dataDxfId="4"/>
    <tableColumn id="7" xr3:uid="{1D4D5774-3464-4FB6-AEF8-5C0097844525}" name="TOTAL" dataDxfId="3">
      <calculatedColumnFormula>SUM(C11:F11)</calculatedColumnFormula>
    </tableColumn>
    <tableColumn id="8" xr3:uid="{F06667BA-C563-45A8-BA71-8615B4C2E28C}" name="AVERAGE" dataDxfId="2">
      <calculatedColumnFormula>AVERAGE(C11:F11)</calculatedColumnFormula>
    </tableColumn>
    <tableColumn id="9" xr3:uid="{31AB92D6-E8AF-4A9E-9828-F3A0270C9D38}" name="PERCENTAGE" dataDxfId="1">
      <calculatedColumnFormula>G11/400*100</calculatedColumnFormula>
    </tableColumn>
    <tableColumn id="10" xr3:uid="{3F870F9F-BC14-4D34-B39E-599AD2B1F44D}" name="GRADE" dataDxfId="0">
      <calculatedColumnFormula>IF(I11&gt;=90,"A+",IF(I11&gt;=80,"A",IF(I11&gt;=70,"B+",IF(I11&gt;=60,"B",IF(I11&gt;=50,"C","F")))))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99E3-A54C-4504-9E88-4150CDA645BE}">
  <dimension ref="A1:K20"/>
  <sheetViews>
    <sheetView tabSelected="1" zoomScale="145" zoomScaleNormal="145" workbookViewId="0">
      <selection activeCell="U19" sqref="U19"/>
    </sheetView>
  </sheetViews>
  <sheetFormatPr defaultRowHeight="15" x14ac:dyDescent="0.25"/>
  <cols>
    <col min="1" max="1" width="9.5703125" bestFit="1" customWidth="1"/>
    <col min="2" max="2" width="13.5703125" bestFit="1" customWidth="1"/>
    <col min="3" max="3" width="8.42578125" customWidth="1"/>
    <col min="4" max="4" width="6.85546875" customWidth="1"/>
    <col min="5" max="5" width="6.28515625" customWidth="1"/>
    <col min="6" max="6" width="3.7109375" customWidth="1"/>
    <col min="7" max="7" width="6.85546875" customWidth="1"/>
    <col min="8" max="8" width="9.42578125" customWidth="1"/>
    <col min="9" max="9" width="12.5703125" customWidth="1"/>
    <col min="10" max="10" width="7.5703125" customWidth="1"/>
  </cols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</row>
    <row r="6" spans="1:11" ht="12.95" customHeight="1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2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4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10" spans="1:11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13</v>
      </c>
      <c r="J10" s="1" t="s">
        <v>10</v>
      </c>
    </row>
    <row r="11" spans="1:11" x14ac:dyDescent="0.25">
      <c r="A11" s="1" t="s">
        <v>11</v>
      </c>
      <c r="B11" s="1" t="s">
        <v>12</v>
      </c>
      <c r="C11" s="1">
        <v>78</v>
      </c>
      <c r="D11" s="1">
        <v>78</v>
      </c>
      <c r="E11" s="1">
        <v>90</v>
      </c>
      <c r="F11" s="1">
        <v>55</v>
      </c>
      <c r="G11" s="1">
        <f>SUM(C11:F11)</f>
        <v>301</v>
      </c>
      <c r="H11" s="1">
        <f>AVERAGE(C11:F11)</f>
        <v>75.25</v>
      </c>
      <c r="I11" s="1">
        <f>G11/400*100</f>
        <v>75.25</v>
      </c>
      <c r="J11" s="1" t="str">
        <f t="shared" ref="J11:J20" si="0">IF(I11&gt;=90,"A+",IF(I11&gt;=80,"A",IF(I11&gt;=70,"B+",IF(I11&gt;=60,"B",IF(I11&gt;=50,"C","F")))))</f>
        <v>B+</v>
      </c>
    </row>
    <row r="12" spans="1:11" x14ac:dyDescent="0.25">
      <c r="A12" s="1" t="s">
        <v>14</v>
      </c>
      <c r="B12" s="1" t="s">
        <v>15</v>
      </c>
      <c r="C12" s="1">
        <v>85</v>
      </c>
      <c r="D12" s="1">
        <v>82</v>
      </c>
      <c r="E12" s="1">
        <v>88</v>
      </c>
      <c r="F12" s="1">
        <v>79</v>
      </c>
      <c r="G12" s="1">
        <f t="shared" ref="G12:G20" si="1">SUM(C12:F12)</f>
        <v>334</v>
      </c>
      <c r="H12" s="1">
        <f t="shared" ref="H12:H20" si="2">AVERAGE(C12:F12)</f>
        <v>83.5</v>
      </c>
      <c r="I12" s="1">
        <f t="shared" ref="I12:I20" si="3">G12/400*100</f>
        <v>83.5</v>
      </c>
      <c r="J12" s="1" t="str">
        <f t="shared" si="0"/>
        <v>A</v>
      </c>
    </row>
    <row r="13" spans="1:11" x14ac:dyDescent="0.25">
      <c r="A13" s="1" t="s">
        <v>16</v>
      </c>
      <c r="B13" s="1" t="s">
        <v>17</v>
      </c>
      <c r="C13" s="1">
        <v>76</v>
      </c>
      <c r="D13" s="1">
        <v>80</v>
      </c>
      <c r="E13" s="1">
        <v>72</v>
      </c>
      <c r="F13" s="1">
        <v>68</v>
      </c>
      <c r="G13" s="1">
        <f t="shared" si="1"/>
        <v>296</v>
      </c>
      <c r="H13" s="1">
        <f t="shared" si="2"/>
        <v>74</v>
      </c>
      <c r="I13" s="1">
        <f t="shared" si="3"/>
        <v>74</v>
      </c>
      <c r="J13" s="1" t="str">
        <f t="shared" si="0"/>
        <v>B+</v>
      </c>
    </row>
    <row r="14" spans="1:11" x14ac:dyDescent="0.25">
      <c r="A14" s="1" t="s">
        <v>18</v>
      </c>
      <c r="B14" s="1" t="s">
        <v>19</v>
      </c>
      <c r="C14" s="1">
        <v>91</v>
      </c>
      <c r="D14" s="1">
        <v>89</v>
      </c>
      <c r="E14" s="1">
        <v>94</v>
      </c>
      <c r="F14" s="1">
        <v>90</v>
      </c>
      <c r="G14" s="1">
        <f t="shared" si="1"/>
        <v>364</v>
      </c>
      <c r="H14" s="1">
        <f t="shared" si="2"/>
        <v>91</v>
      </c>
      <c r="I14" s="1">
        <f t="shared" si="3"/>
        <v>91</v>
      </c>
      <c r="J14" s="1" t="str">
        <f t="shared" si="0"/>
        <v>A+</v>
      </c>
    </row>
    <row r="15" spans="1:11" x14ac:dyDescent="0.25">
      <c r="A15" s="1" t="s">
        <v>20</v>
      </c>
      <c r="B15" s="1" t="s">
        <v>21</v>
      </c>
      <c r="C15" s="1">
        <v>69</v>
      </c>
      <c r="D15" s="1">
        <v>74</v>
      </c>
      <c r="E15" s="1">
        <v>71</v>
      </c>
      <c r="F15" s="1">
        <v>65</v>
      </c>
      <c r="G15" s="1">
        <f t="shared" si="1"/>
        <v>279</v>
      </c>
      <c r="H15" s="1">
        <f t="shared" si="2"/>
        <v>69.75</v>
      </c>
      <c r="I15" s="1">
        <f t="shared" si="3"/>
        <v>69.75</v>
      </c>
      <c r="J15" s="1" t="str">
        <f t="shared" si="0"/>
        <v>B</v>
      </c>
    </row>
    <row r="16" spans="1:11" x14ac:dyDescent="0.25">
      <c r="A16" s="1" t="s">
        <v>22</v>
      </c>
      <c r="B16" s="1" t="s">
        <v>23</v>
      </c>
      <c r="C16" s="1">
        <v>88</v>
      </c>
      <c r="D16" s="1">
        <v>92</v>
      </c>
      <c r="E16" s="1">
        <v>90</v>
      </c>
      <c r="F16" s="1">
        <v>86</v>
      </c>
      <c r="G16" s="1">
        <f t="shared" si="1"/>
        <v>356</v>
      </c>
      <c r="H16" s="1">
        <f t="shared" si="2"/>
        <v>89</v>
      </c>
      <c r="I16" s="1">
        <f t="shared" si="3"/>
        <v>89</v>
      </c>
      <c r="J16" s="1" t="str">
        <f t="shared" si="0"/>
        <v>A</v>
      </c>
    </row>
    <row r="17" spans="1:10" x14ac:dyDescent="0.25">
      <c r="A17" s="1" t="s">
        <v>24</v>
      </c>
      <c r="B17" s="1" t="s">
        <v>25</v>
      </c>
      <c r="C17" s="1">
        <v>73</v>
      </c>
      <c r="D17" s="1">
        <v>77</v>
      </c>
      <c r="E17" s="1">
        <v>75</v>
      </c>
      <c r="F17" s="1">
        <v>70</v>
      </c>
      <c r="G17" s="1">
        <f t="shared" si="1"/>
        <v>295</v>
      </c>
      <c r="H17" s="1">
        <f t="shared" si="2"/>
        <v>73.75</v>
      </c>
      <c r="I17" s="1">
        <f t="shared" si="3"/>
        <v>73.75</v>
      </c>
      <c r="J17" s="1" t="str">
        <f t="shared" si="0"/>
        <v>B+</v>
      </c>
    </row>
    <row r="18" spans="1:10" x14ac:dyDescent="0.25">
      <c r="A18" s="1" t="s">
        <v>26</v>
      </c>
      <c r="B18" s="1" t="s">
        <v>27</v>
      </c>
      <c r="C18" s="1">
        <v>95</v>
      </c>
      <c r="D18" s="1">
        <v>94</v>
      </c>
      <c r="E18" s="1">
        <v>96</v>
      </c>
      <c r="F18" s="1">
        <v>93</v>
      </c>
      <c r="G18" s="1">
        <f t="shared" si="1"/>
        <v>378</v>
      </c>
      <c r="H18" s="1">
        <f t="shared" si="2"/>
        <v>94.5</v>
      </c>
      <c r="I18" s="1">
        <f t="shared" si="3"/>
        <v>94.5</v>
      </c>
      <c r="J18" s="1" t="str">
        <f t="shared" si="0"/>
        <v>A+</v>
      </c>
    </row>
    <row r="19" spans="1:10" x14ac:dyDescent="0.25">
      <c r="A19" s="1" t="s">
        <v>28</v>
      </c>
      <c r="B19" s="1" t="s">
        <v>29</v>
      </c>
      <c r="C19" s="1">
        <v>81</v>
      </c>
      <c r="D19" s="1">
        <v>84</v>
      </c>
      <c r="E19" s="1">
        <v>79</v>
      </c>
      <c r="F19" s="1">
        <v>83</v>
      </c>
      <c r="G19" s="1">
        <f t="shared" si="1"/>
        <v>327</v>
      </c>
      <c r="H19" s="1">
        <f t="shared" si="2"/>
        <v>81.75</v>
      </c>
      <c r="I19" s="1">
        <f t="shared" si="3"/>
        <v>81.75</v>
      </c>
      <c r="J19" s="1" t="str">
        <f t="shared" si="0"/>
        <v>A</v>
      </c>
    </row>
    <row r="20" spans="1:10" x14ac:dyDescent="0.25">
      <c r="A20" s="1" t="s">
        <v>30</v>
      </c>
      <c r="B20" s="1" t="s">
        <v>31</v>
      </c>
      <c r="C20" s="1">
        <v>67</v>
      </c>
      <c r="D20" s="1">
        <v>72</v>
      </c>
      <c r="E20" s="1">
        <v>69</v>
      </c>
      <c r="F20" s="1">
        <v>74</v>
      </c>
      <c r="G20" s="1">
        <f t="shared" si="1"/>
        <v>282</v>
      </c>
      <c r="H20" s="1">
        <f t="shared" si="2"/>
        <v>70.5</v>
      </c>
      <c r="I20" s="1">
        <f t="shared" si="3"/>
        <v>70.5</v>
      </c>
      <c r="J20" s="1" t="str">
        <f t="shared" si="0"/>
        <v>B+</v>
      </c>
    </row>
  </sheetData>
  <mergeCells count="3">
    <mergeCell ref="A1:I5"/>
    <mergeCell ref="A6:K7"/>
    <mergeCell ref="A8:K8"/>
  </mergeCells>
  <phoneticPr fontId="2" type="noConversion"/>
  <printOptions gridLines="1"/>
  <pageMargins left="0.25" right="0.25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Bvoc</dc:creator>
  <cp:lastModifiedBy>Bvoc</cp:lastModifiedBy>
  <cp:lastPrinted>2026-07-01T07:17:48Z</cp:lastPrinted>
  <dcterms:created xsi:type="dcterms:W3CDTF">2026-07-01T06:05:46Z</dcterms:created>
  <dcterms:modified xsi:type="dcterms:W3CDTF">2026-07-02T06:09:17Z</dcterms:modified>
</cp:coreProperties>
</file>