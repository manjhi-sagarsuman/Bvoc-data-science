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_Excel\"/>
    </mc:Choice>
  </mc:AlternateContent>
  <xr:revisionPtr revIDLastSave="0" documentId="13_ncr:1_{7D90BB32-160D-443D-BE9F-F8B8A52C2D45}" xr6:coauthVersionLast="47" xr6:coauthVersionMax="47" xr10:uidLastSave="{00000000-0000-0000-0000-000000000000}"/>
  <bookViews>
    <workbookView xWindow="-120" yWindow="-120" windowWidth="29040" windowHeight="15720" xr2:uid="{41AA55AA-C28B-4335-B5BD-AC7935656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D29" i="1"/>
  <c r="C29" i="1"/>
</calcChain>
</file>

<file path=xl/sharedStrings.xml><?xml version="1.0" encoding="utf-8"?>
<sst xmlns="http://schemas.openxmlformats.org/spreadsheetml/2006/main" count="40" uniqueCount="36">
  <si>
    <t xml:space="preserve"> TCET SOJOURN EVENT BUGDET</t>
  </si>
  <si>
    <t>TOTAL ETIMATED EXPENSES</t>
  </si>
  <si>
    <t>TOTAL EXPECTED INCOME</t>
  </si>
  <si>
    <t>Category</t>
  </si>
  <si>
    <t>Item</t>
  </si>
  <si>
    <t>Estimated Cost (₹)</t>
  </si>
  <si>
    <t>Actual Cost (₹)</t>
  </si>
  <si>
    <t>Difference (₹)</t>
  </si>
  <si>
    <t>Remarks</t>
  </si>
  <si>
    <t>Venue</t>
  </si>
  <si>
    <t>Stage &amp; Seating</t>
  </si>
  <si>
    <t>Sound &amp; Lighting</t>
  </si>
  <si>
    <t>Decoration</t>
  </si>
  <si>
    <t>Theme Decoration</t>
  </si>
  <si>
    <t>Marketing</t>
  </si>
  <si>
    <t>Posters &amp; Banners</t>
  </si>
  <si>
    <t>Social Media Promotion</t>
  </si>
  <si>
    <t>Technical</t>
  </si>
  <si>
    <t>LED Screen</t>
  </si>
  <si>
    <t>Photography &amp; Videography</t>
  </si>
  <si>
    <t>Hospitality</t>
  </si>
  <si>
    <t>Guest Accommodation</t>
  </si>
  <si>
    <t>Food &amp; Refreshments</t>
  </si>
  <si>
    <t>Performances</t>
  </si>
  <si>
    <t>Artist Fees</t>
  </si>
  <si>
    <t>Security</t>
  </si>
  <si>
    <t>Security Personnel</t>
  </si>
  <si>
    <t>Medical</t>
  </si>
  <si>
    <t>First Aid &amp; Ambulance</t>
  </si>
  <si>
    <t>Certificates &amp; Prizes</t>
  </si>
  <si>
    <t>Trophies &amp; Certificates</t>
  </si>
  <si>
    <t>Logistics</t>
  </si>
  <si>
    <t>Transportation</t>
  </si>
  <si>
    <t>Miscellaneous</t>
  </si>
  <si>
    <t>Contingency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</si>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</sst>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0.249977111117893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8" fontId="0" fillId="0" borderId="0" xfId="0" applyNumberFormat="1" applyAlignment="1">
      <alignment horizontal="right" wrapText="1"/>
    </xf>
    <xf numFmtId="168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numFmt numFmtId="168" formatCode="&quot;₹&quot;\ #,##0.00"/>
      <alignment horizontal="right" vertical="bottom" textRotation="0" wrapText="1" indent="0" justifyLastLine="0" shrinkToFit="0" readingOrder="0"/>
    </dxf>
    <dxf>
      <numFmt numFmtId="168" formatCode="&quot;₹&quot;\ #,##0.00"/>
      <alignment horizontal="right" vertical="bottom" textRotation="0" wrapText="1" indent="0" justifyLastLine="0" shrinkToFit="0" readingOrder="0"/>
    </dxf>
    <dxf>
      <numFmt numFmtId="168" formatCode="&quot;₹&quot;\ #,##0.00"/>
      <alignment horizontal="right" vertical="bottom" textRotation="0" wrapText="1" indent="0" justifyLastLine="0" shrinkToFit="0" readingOrder="0"/>
    </dxf>
    <dxf>
      <numFmt numFmtId="168" formatCode="&quot;₹&quot;\ #,##0.00"/>
      <alignment horizontal="righ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19750222629721"/>
          <c:y val="8.5077444631655869E-2"/>
          <c:w val="0.69031694517817821"/>
          <c:h val="0.7065785737863151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Sheet1!$B$14:$B$28</c:f>
              <c:strCache>
                <c:ptCount val="15"/>
                <c:pt idx="0">
                  <c:v>Stage &amp; Seating</c:v>
                </c:pt>
                <c:pt idx="1">
                  <c:v>Sound &amp; Lighting</c:v>
                </c:pt>
                <c:pt idx="2">
                  <c:v>Theme Decoration</c:v>
                </c:pt>
                <c:pt idx="3">
                  <c:v>Posters &amp; Banners</c:v>
                </c:pt>
                <c:pt idx="4">
                  <c:v>Social Media Promotion</c:v>
                </c:pt>
                <c:pt idx="5">
                  <c:v>LED Screen</c:v>
                </c:pt>
                <c:pt idx="6">
                  <c:v>Photography &amp; Videography</c:v>
                </c:pt>
                <c:pt idx="7">
                  <c:v>Guest Accommodation</c:v>
                </c:pt>
                <c:pt idx="8">
                  <c:v>Food &amp; Refreshments</c:v>
                </c:pt>
                <c:pt idx="9">
                  <c:v>Artist Fees</c:v>
                </c:pt>
                <c:pt idx="10">
                  <c:v>Security Personnel</c:v>
                </c:pt>
                <c:pt idx="11">
                  <c:v>First Aid &amp; Ambulance</c:v>
                </c:pt>
                <c:pt idx="12">
                  <c:v>Trophies &amp; Certificates</c:v>
                </c:pt>
                <c:pt idx="13">
                  <c:v>Transportation</c:v>
                </c:pt>
                <c:pt idx="14">
                  <c:v>Contingency</c:v>
                </c:pt>
              </c:strCache>
            </c:strRef>
          </c:cat>
          <c:val>
            <c:numRef>
              <c:f>Sheet1!$C$14:$C$28</c:f>
              <c:numCache>
                <c:formatCode>"₹"\ #,##0.00</c:formatCode>
                <c:ptCount val="15"/>
                <c:pt idx="0">
                  <c:v>80000</c:v>
                </c:pt>
                <c:pt idx="1">
                  <c:v>120000</c:v>
                </c:pt>
                <c:pt idx="2">
                  <c:v>50000</c:v>
                </c:pt>
                <c:pt idx="3">
                  <c:v>20000</c:v>
                </c:pt>
                <c:pt idx="4">
                  <c:v>15000</c:v>
                </c:pt>
                <c:pt idx="5">
                  <c:v>60000</c:v>
                </c:pt>
                <c:pt idx="6">
                  <c:v>40000</c:v>
                </c:pt>
                <c:pt idx="7">
                  <c:v>35000</c:v>
                </c:pt>
                <c:pt idx="8">
                  <c:v>70000</c:v>
                </c:pt>
                <c:pt idx="9">
                  <c:v>250000</c:v>
                </c:pt>
                <c:pt idx="10">
                  <c:v>40000</c:v>
                </c:pt>
                <c:pt idx="11">
                  <c:v>15000</c:v>
                </c:pt>
                <c:pt idx="12">
                  <c:v>45000</c:v>
                </c:pt>
                <c:pt idx="13">
                  <c:v>30000</c:v>
                </c:pt>
                <c:pt idx="1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4D50-8EBB-E86C678D4E3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Sheet1!$B$14:$B$28</c:f>
              <c:strCache>
                <c:ptCount val="15"/>
                <c:pt idx="0">
                  <c:v>Stage &amp; Seating</c:v>
                </c:pt>
                <c:pt idx="1">
                  <c:v>Sound &amp; Lighting</c:v>
                </c:pt>
                <c:pt idx="2">
                  <c:v>Theme Decoration</c:v>
                </c:pt>
                <c:pt idx="3">
                  <c:v>Posters &amp; Banners</c:v>
                </c:pt>
                <c:pt idx="4">
                  <c:v>Social Media Promotion</c:v>
                </c:pt>
                <c:pt idx="5">
                  <c:v>LED Screen</c:v>
                </c:pt>
                <c:pt idx="6">
                  <c:v>Photography &amp; Videography</c:v>
                </c:pt>
                <c:pt idx="7">
                  <c:v>Guest Accommodation</c:v>
                </c:pt>
                <c:pt idx="8">
                  <c:v>Food &amp; Refreshments</c:v>
                </c:pt>
                <c:pt idx="9">
                  <c:v>Artist Fees</c:v>
                </c:pt>
                <c:pt idx="10">
                  <c:v>Security Personnel</c:v>
                </c:pt>
                <c:pt idx="11">
                  <c:v>First Aid &amp; Ambulance</c:v>
                </c:pt>
                <c:pt idx="12">
                  <c:v>Trophies &amp; Certificates</c:v>
                </c:pt>
                <c:pt idx="13">
                  <c:v>Transportation</c:v>
                </c:pt>
                <c:pt idx="14">
                  <c:v>Contingency</c:v>
                </c:pt>
              </c:strCache>
            </c:strRef>
          </c:cat>
          <c:val>
            <c:numRef>
              <c:f>Sheet1!$D$14:$D$28</c:f>
              <c:numCache>
                <c:formatCode>"₹"\ #,##0.00</c:formatCode>
                <c:ptCount val="15"/>
                <c:pt idx="0">
                  <c:v>70000</c:v>
                </c:pt>
                <c:pt idx="1">
                  <c:v>140000</c:v>
                </c:pt>
                <c:pt idx="2">
                  <c:v>48000</c:v>
                </c:pt>
                <c:pt idx="3">
                  <c:v>19000</c:v>
                </c:pt>
                <c:pt idx="4">
                  <c:v>16500</c:v>
                </c:pt>
                <c:pt idx="5">
                  <c:v>55000</c:v>
                </c:pt>
                <c:pt idx="6">
                  <c:v>35000</c:v>
                </c:pt>
                <c:pt idx="7">
                  <c:v>20000</c:v>
                </c:pt>
                <c:pt idx="8">
                  <c:v>74000</c:v>
                </c:pt>
                <c:pt idx="9">
                  <c:v>210000</c:v>
                </c:pt>
                <c:pt idx="10">
                  <c:v>38000</c:v>
                </c:pt>
                <c:pt idx="11">
                  <c:v>12000</c:v>
                </c:pt>
                <c:pt idx="12">
                  <c:v>44000</c:v>
                </c:pt>
                <c:pt idx="13">
                  <c:v>20000</c:v>
                </c:pt>
                <c:pt idx="1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4D50-8EBB-E86C678D4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2889631"/>
        <c:axId val="908471343"/>
      </c:barChart>
      <c:catAx>
        <c:axId val="91288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71343"/>
        <c:crosses val="autoZero"/>
        <c:auto val="1"/>
        <c:lblAlgn val="ctr"/>
        <c:lblOffset val="100"/>
        <c:noMultiLvlLbl val="0"/>
      </c:catAx>
      <c:valAx>
        <c:axId val="90847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88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388327</xdr:colOff>
      <xdr:row>0</xdr:row>
      <xdr:rowOff>29307</xdr:rowOff>
    </xdr:from>
    <xdr:to>
      <xdr:col>6</xdr:col>
      <xdr:colOff>152350</xdr:colOff>
      <xdr:row>4</xdr:row>
      <xdr:rowOff>175845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756DE-FE69-4DD3-BBF4-96204047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327" y="29307"/>
          <a:ext cx="5830715" cy="908538"/>
        </a:xfrm>
        <a:prstGeom prst="rect">
          <a:avLst/>
        </a:prstGeom>
      </xdr:spPr>
    </xdr:pic>
    <xdr:clientData/>
  </xdr:twoCellAnchor>
  <xdr:twoCellAnchor>
    <xdr:from>
      <xdr:col>6</xdr:col>
      <xdr:colOff>148004</xdr:colOff>
      <xdr:row>7</xdr:row>
      <xdr:rowOff>118696</xdr:rowOff>
    </xdr:from>
    <xdr:to>
      <xdr:col>15</xdr:col>
      <xdr:colOff>552450</xdr:colOff>
      <xdr:row>21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EC0B56-8244-C90A-BED1-B33C58CB1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005D8-3E8A-4A20-8253-34D81E684FA0}" name="Table1" displayName="Table1" ref="A13:F29" totalsRowShown="0" headerRowDxfId="4" dataDxfId="5">
  <autoFilter ref="A13:F29" xr:uid="{AAC005D8-3E8A-4A20-8253-34D81E684FA0}"/>
  <tableColumns count="6">
    <tableColumn id="1" xr3:uid="{05041FE6-ACB1-4634-945C-87A13C01F469}" name="Category" dataDxfId="7"/>
    <tableColumn id="2" xr3:uid="{03221161-6512-471B-89F2-D12D6D200A13}" name="Item" dataDxfId="6"/>
    <tableColumn id="3" xr3:uid="{1516C1B9-69EF-406F-A497-E016820DD487}" name="Estimated Cost (₹)" dataDxfId="3"/>
    <tableColumn id="4" xr3:uid="{7483F727-41C3-4712-9E96-9C9D4763F2A4}" name="Actual Cost (₹)" dataDxfId="2"/>
    <tableColumn id="5" xr3:uid="{6BD90C07-B990-46BE-9C63-A07B7AD2F151}" name="Difference (₹)" dataDxfId="0">
      <calculatedColumnFormula>Table1[[#This Row],[Estimated Cost (₹)]]-Table1[[#This Row],[Actual Cost (₹)]]</calculatedColumnFormula>
    </tableColumn>
    <tableColumn id="6" xr3:uid="{696F4645-9538-427D-8134-EC9470BCBE54}" name="Remarks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8483-9644-41D6-8A3F-506991D50E3A}">
  <dimension ref="A1:K29"/>
  <sheetViews>
    <sheetView tabSelected="1" zoomScaleNormal="100" workbookViewId="0">
      <selection activeCell="E29" sqref="E29"/>
    </sheetView>
  </sheetViews>
  <sheetFormatPr defaultRowHeight="15" x14ac:dyDescent="0.25"/>
  <cols>
    <col min="1" max="1" width="13.7109375" customWidth="1"/>
    <col min="2" max="2" width="16.140625" customWidth="1"/>
    <col min="3" max="3" width="18.28515625" customWidth="1"/>
    <col min="4" max="4" width="15.28515625" customWidth="1"/>
    <col min="5" max="5" width="15" customWidth="1"/>
    <col min="6" max="6" width="12.5703125" customWidth="1"/>
    <col min="7" max="7" width="12.425781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7" spans="1:11" ht="15" customHeight="1" x14ac:dyDescent="0.25">
      <c r="A7" s="5" t="s">
        <v>0</v>
      </c>
      <c r="B7" s="5"/>
      <c r="C7" s="5"/>
      <c r="D7" s="5"/>
      <c r="E7" s="5"/>
      <c r="F7" s="5"/>
      <c r="G7" s="12"/>
      <c r="H7" s="13"/>
      <c r="I7" s="13"/>
      <c r="J7" s="13"/>
      <c r="K7" s="13"/>
    </row>
    <row r="8" spans="1:11" ht="15" customHeight="1" x14ac:dyDescent="0.25">
      <c r="A8" s="5"/>
      <c r="B8" s="5"/>
      <c r="C8" s="5"/>
      <c r="D8" s="5"/>
      <c r="E8" s="5"/>
      <c r="F8" s="5"/>
      <c r="G8" s="12"/>
      <c r="H8" s="13"/>
      <c r="I8" s="13"/>
      <c r="J8" s="13"/>
      <c r="K8" s="13"/>
    </row>
    <row r="10" spans="1:11" x14ac:dyDescent="0.25">
      <c r="A10" s="6" t="s">
        <v>1</v>
      </c>
      <c r="B10" s="3"/>
      <c r="C10" s="3"/>
      <c r="D10" s="4"/>
    </row>
    <row r="11" spans="1:11" x14ac:dyDescent="0.25">
      <c r="A11" s="6" t="s">
        <v>2</v>
      </c>
      <c r="B11" s="2"/>
      <c r="C11" s="2"/>
    </row>
    <row r="13" spans="1:11" ht="15" customHeight="1" x14ac:dyDescent="0.25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</row>
    <row r="14" spans="1:11" x14ac:dyDescent="0.25">
      <c r="A14" s="8" t="s">
        <v>9</v>
      </c>
      <c r="B14" s="8" t="s">
        <v>10</v>
      </c>
      <c r="C14" s="9">
        <v>80000</v>
      </c>
      <c r="D14" s="9">
        <v>70000</v>
      </c>
      <c r="E14" s="9">
        <f>Table1[[#This Row],[Estimated Cost (₹)]]-Table1[[#This Row],[Actual Cost (₹)]]</f>
        <v>10000</v>
      </c>
      <c r="F14" s="9"/>
    </row>
    <row r="15" spans="1:11" x14ac:dyDescent="0.25">
      <c r="A15" s="8" t="s">
        <v>9</v>
      </c>
      <c r="B15" s="8" t="s">
        <v>11</v>
      </c>
      <c r="C15" s="9">
        <v>120000</v>
      </c>
      <c r="D15" s="9">
        <v>140000</v>
      </c>
      <c r="E15" s="9">
        <f>Table1[[#This Row],[Estimated Cost (₹)]]-Table1[[#This Row],[Actual Cost (₹)]]</f>
        <v>-20000</v>
      </c>
      <c r="F15" s="9"/>
    </row>
    <row r="16" spans="1:11" ht="30" x14ac:dyDescent="0.25">
      <c r="A16" s="8" t="s">
        <v>12</v>
      </c>
      <c r="B16" s="8" t="s">
        <v>13</v>
      </c>
      <c r="C16" s="9">
        <v>50000</v>
      </c>
      <c r="D16" s="9">
        <v>48000</v>
      </c>
      <c r="E16" s="9">
        <f>Table1[[#This Row],[Estimated Cost (₹)]]-Table1[[#This Row],[Actual Cost (₹)]]</f>
        <v>2000</v>
      </c>
      <c r="F16" s="9"/>
    </row>
    <row r="17" spans="1:6" ht="30" x14ac:dyDescent="0.25">
      <c r="A17" s="8" t="s">
        <v>14</v>
      </c>
      <c r="B17" s="8" t="s">
        <v>15</v>
      </c>
      <c r="C17" s="9">
        <v>20000</v>
      </c>
      <c r="D17" s="9">
        <v>19000</v>
      </c>
      <c r="E17" s="9">
        <f>Table1[[#This Row],[Estimated Cost (₹)]]-Table1[[#This Row],[Actual Cost (₹)]]</f>
        <v>1000</v>
      </c>
      <c r="F17" s="9"/>
    </row>
    <row r="18" spans="1:6" ht="30" x14ac:dyDescent="0.25">
      <c r="A18" s="8" t="s">
        <v>14</v>
      </c>
      <c r="B18" s="8" t="s">
        <v>16</v>
      </c>
      <c r="C18" s="9">
        <v>15000</v>
      </c>
      <c r="D18" s="9">
        <v>16500</v>
      </c>
      <c r="E18" s="9">
        <f>Table1[[#This Row],[Estimated Cost (₹)]]-Table1[[#This Row],[Actual Cost (₹)]]</f>
        <v>-1500</v>
      </c>
      <c r="F18" s="9"/>
    </row>
    <row r="19" spans="1:6" x14ac:dyDescent="0.25">
      <c r="A19" s="8" t="s">
        <v>17</v>
      </c>
      <c r="B19" s="8" t="s">
        <v>18</v>
      </c>
      <c r="C19" s="9">
        <v>60000</v>
      </c>
      <c r="D19" s="9">
        <v>55000</v>
      </c>
      <c r="E19" s="9">
        <f>Table1[[#This Row],[Estimated Cost (₹)]]-Table1[[#This Row],[Actual Cost (₹)]]</f>
        <v>5000</v>
      </c>
      <c r="F19" s="9"/>
    </row>
    <row r="20" spans="1:6" ht="30" x14ac:dyDescent="0.25">
      <c r="A20" s="8" t="s">
        <v>17</v>
      </c>
      <c r="B20" s="8" t="s">
        <v>19</v>
      </c>
      <c r="C20" s="9">
        <v>40000</v>
      </c>
      <c r="D20" s="9">
        <v>35000</v>
      </c>
      <c r="E20" s="9">
        <f>Table1[[#This Row],[Estimated Cost (₹)]]-Table1[[#This Row],[Actual Cost (₹)]]</f>
        <v>5000</v>
      </c>
      <c r="F20" s="9"/>
    </row>
    <row r="21" spans="1:6" ht="30" x14ac:dyDescent="0.25">
      <c r="A21" s="8" t="s">
        <v>20</v>
      </c>
      <c r="B21" s="8" t="s">
        <v>21</v>
      </c>
      <c r="C21" s="9">
        <v>35000</v>
      </c>
      <c r="D21" s="9">
        <v>20000</v>
      </c>
      <c r="E21" s="9">
        <f>Table1[[#This Row],[Estimated Cost (₹)]]-Table1[[#This Row],[Actual Cost (₹)]]</f>
        <v>15000</v>
      </c>
      <c r="F21" s="9"/>
    </row>
    <row r="22" spans="1:6" ht="30" x14ac:dyDescent="0.25">
      <c r="A22" s="8" t="s">
        <v>20</v>
      </c>
      <c r="B22" s="8" t="s">
        <v>22</v>
      </c>
      <c r="C22" s="9">
        <v>70000</v>
      </c>
      <c r="D22" s="9">
        <v>74000</v>
      </c>
      <c r="E22" s="9">
        <f>Table1[[#This Row],[Estimated Cost (₹)]]-Table1[[#This Row],[Actual Cost (₹)]]</f>
        <v>-4000</v>
      </c>
      <c r="F22" s="9"/>
    </row>
    <row r="23" spans="1:6" x14ac:dyDescent="0.25">
      <c r="A23" s="8" t="s">
        <v>23</v>
      </c>
      <c r="B23" s="8" t="s">
        <v>24</v>
      </c>
      <c r="C23" s="9">
        <v>250000</v>
      </c>
      <c r="D23" s="9">
        <v>210000</v>
      </c>
      <c r="E23" s="9">
        <f>Table1[[#This Row],[Estimated Cost (₹)]]-Table1[[#This Row],[Actual Cost (₹)]]</f>
        <v>40000</v>
      </c>
      <c r="F23" s="9"/>
    </row>
    <row r="24" spans="1:6" ht="30" x14ac:dyDescent="0.25">
      <c r="A24" s="8" t="s">
        <v>25</v>
      </c>
      <c r="B24" s="8" t="s">
        <v>26</v>
      </c>
      <c r="C24" s="9">
        <v>40000</v>
      </c>
      <c r="D24" s="9">
        <v>38000</v>
      </c>
      <c r="E24" s="9">
        <f>Table1[[#This Row],[Estimated Cost (₹)]]-Table1[[#This Row],[Actual Cost (₹)]]</f>
        <v>2000</v>
      </c>
      <c r="F24" s="9"/>
    </row>
    <row r="25" spans="1:6" ht="30" x14ac:dyDescent="0.25">
      <c r="A25" s="8" t="s">
        <v>27</v>
      </c>
      <c r="B25" s="8" t="s">
        <v>28</v>
      </c>
      <c r="C25" s="9">
        <v>15000</v>
      </c>
      <c r="D25" s="9">
        <v>12000</v>
      </c>
      <c r="E25" s="9">
        <f>Table1[[#This Row],[Estimated Cost (₹)]]-Table1[[#This Row],[Actual Cost (₹)]]</f>
        <v>3000</v>
      </c>
      <c r="F25" s="9"/>
    </row>
    <row r="26" spans="1:6" ht="30" x14ac:dyDescent="0.25">
      <c r="A26" s="8" t="s">
        <v>29</v>
      </c>
      <c r="B26" s="8" t="s">
        <v>30</v>
      </c>
      <c r="C26" s="9">
        <v>45000</v>
      </c>
      <c r="D26" s="9">
        <v>44000</v>
      </c>
      <c r="E26" s="9">
        <f>Table1[[#This Row],[Estimated Cost (₹)]]-Table1[[#This Row],[Actual Cost (₹)]]</f>
        <v>1000</v>
      </c>
      <c r="F26" s="9"/>
    </row>
    <row r="27" spans="1:6" x14ac:dyDescent="0.25">
      <c r="A27" s="8" t="s">
        <v>31</v>
      </c>
      <c r="B27" s="8" t="s">
        <v>32</v>
      </c>
      <c r="C27" s="9">
        <v>30000</v>
      </c>
      <c r="D27" s="9">
        <v>20000</v>
      </c>
      <c r="E27" s="9">
        <f>Table1[[#This Row],[Estimated Cost (₹)]]-Table1[[#This Row],[Actual Cost (₹)]]</f>
        <v>10000</v>
      </c>
      <c r="F27" s="9"/>
    </row>
    <row r="28" spans="1:6" ht="30" x14ac:dyDescent="0.25">
      <c r="A28" s="8" t="s">
        <v>33</v>
      </c>
      <c r="B28" s="8" t="s">
        <v>34</v>
      </c>
      <c r="C28" s="9">
        <v>50000</v>
      </c>
      <c r="D28" s="9">
        <v>45000</v>
      </c>
      <c r="E28" s="9">
        <f>Table1[[#This Row],[Estimated Cost (₹)]]-Table1[[#This Row],[Actual Cost (₹)]]</f>
        <v>5000</v>
      </c>
      <c r="F28" s="9"/>
    </row>
    <row r="29" spans="1:6" x14ac:dyDescent="0.25">
      <c r="A29" s="11" t="s">
        <v>35</v>
      </c>
      <c r="B29" s="11"/>
      <c r="C29" s="10">
        <f>SUM(C14:C28)</f>
        <v>920000</v>
      </c>
      <c r="D29" s="10">
        <f>SUM(D14:D28)</f>
        <v>846500</v>
      </c>
      <c r="E29" s="10">
        <f>Table1[[#This Row],[Estimated Cost (₹)]]-Table1[[#This Row],[Actual Cost (₹)]]</f>
        <v>73500</v>
      </c>
      <c r="F29" s="10"/>
    </row>
  </sheetData>
  <mergeCells count="4">
    <mergeCell ref="A1:K5"/>
    <mergeCell ref="A10:C10"/>
    <mergeCell ref="A11:C11"/>
    <mergeCell ref="A7:F8"/>
  </mergeCells>
  <pageMargins left="0.25" right="0.25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Bvoc</dc:creator>
  <cp:lastModifiedBy>Bvoc</cp:lastModifiedBy>
  <cp:lastPrinted>2026-07-02T05:11:51Z</cp:lastPrinted>
  <dcterms:created xsi:type="dcterms:W3CDTF">2026-07-02T04:40:02Z</dcterms:created>
  <dcterms:modified xsi:type="dcterms:W3CDTF">2026-07-02T06:08:45Z</dcterms:modified>
</cp:coreProperties>
</file>